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Objects="none"/>
  <mc:AlternateContent xmlns:mc="http://schemas.openxmlformats.org/markup-compatibility/2006">
    <mc:Choice Requires="x15">
      <x15ac:absPath xmlns:x15ac="http://schemas.microsoft.com/office/spreadsheetml/2010/11/ac" url="https://microsoft-my.sharepoint.com/personal/jbilodeau_microsoft_com/Documents/Projects/Ordo/"/>
    </mc:Choice>
  </mc:AlternateContent>
  <xr:revisionPtr revIDLastSave="85" documentId="8_{150E234C-36AA-4203-87D9-5806B2ADCFBC}" xr6:coauthVersionLast="47" xr6:coauthVersionMax="47" xr10:uidLastSave="{E3345FAB-42C7-4D94-829D-D949755846F6}"/>
  <bookViews>
    <workbookView xWindow="-110" yWindow="-110" windowWidth="25180" windowHeight="16140" xr2:uid="{00000000-000D-0000-FFFF-FFFF00000000}"/>
  </bookViews>
  <sheets>
    <sheet name="Budget by Mont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" l="1"/>
  <c r="D19" i="1"/>
  <c r="E19" i="1"/>
  <c r="F19" i="1"/>
  <c r="G19" i="1"/>
  <c r="H19" i="1"/>
  <c r="I19" i="1"/>
  <c r="J19" i="1"/>
  <c r="K19" i="1"/>
  <c r="L19" i="1"/>
  <c r="M19" i="1"/>
  <c r="O19" i="1"/>
  <c r="P19" i="1"/>
  <c r="Q19" i="1"/>
  <c r="R19" i="1"/>
  <c r="S19" i="1"/>
  <c r="T19" i="1"/>
  <c r="U19" i="1"/>
  <c r="V19" i="1"/>
  <c r="W19" i="1"/>
  <c r="X19" i="1"/>
  <c r="Y4" i="1"/>
  <c r="Y5" i="1"/>
  <c r="Y6" i="1"/>
  <c r="Y7" i="1"/>
  <c r="Y8" i="1"/>
  <c r="Y9" i="1"/>
  <c r="Y10" i="1"/>
  <c r="Y11" i="1"/>
  <c r="Y13" i="1"/>
  <c r="Y14" i="1"/>
  <c r="Y15" i="1"/>
  <c r="Y16" i="1"/>
  <c r="Y17" i="1"/>
  <c r="Y12" i="1" l="1"/>
  <c r="N19" i="1"/>
  <c r="Y19" i="1" s="1"/>
</calcChain>
</file>

<file path=xl/sharedStrings.xml><?xml version="1.0" encoding="utf-8"?>
<sst xmlns="http://schemas.openxmlformats.org/spreadsheetml/2006/main" count="56" uniqueCount="54">
  <si>
    <t>Cost Area</t>
  </si>
  <si>
    <t>Project management</t>
  </si>
  <si>
    <t>Core configuration</t>
  </si>
  <si>
    <t>Custom extensions</t>
  </si>
  <si>
    <t>Copilot design</t>
  </si>
  <si>
    <t>Copilot build</t>
  </si>
  <si>
    <t>UI localisation</t>
  </si>
  <si>
    <t>Content localisation</t>
  </si>
  <si>
    <t>Training design</t>
  </si>
  <si>
    <t>Data mapping</t>
  </si>
  <si>
    <t>Data migration</t>
  </si>
  <si>
    <t>Security &amp; compliance</t>
  </si>
  <si>
    <t>COTS licence</t>
  </si>
  <si>
    <t>COTS support</t>
  </si>
  <si>
    <t>Contingency</t>
  </si>
  <si>
    <t>Total</t>
  </si>
  <si>
    <t>Secteur de coûts</t>
  </si>
  <si>
    <t>Gestion de projet</t>
  </si>
  <si>
    <t>Configuration de base</t>
  </si>
  <si>
    <t>Extensions personnalisées</t>
  </si>
  <si>
    <t>Conception Copilot</t>
  </si>
  <si>
    <t>Développement Copilot</t>
  </si>
  <si>
    <t>Localisation de l’interface utilisateur</t>
  </si>
  <si>
    <t>Localisation du contenu</t>
  </si>
  <si>
    <t>Conception de la formation</t>
  </si>
  <si>
    <t>Cartographie des données</t>
  </si>
  <si>
    <t>Migration des données</t>
  </si>
  <si>
    <t>Sécurité et conformité</t>
  </si>
  <si>
    <t>Licence COTS</t>
  </si>
  <si>
    <t>Support COTS</t>
  </si>
  <si>
    <t>Imprévus</t>
  </si>
  <si>
    <t>Ordo Budget</t>
  </si>
  <si>
    <t>2026-07</t>
  </si>
  <si>
    <t>2026-08</t>
  </si>
  <si>
    <t>2026-09</t>
  </si>
  <si>
    <t>2026-10</t>
  </si>
  <si>
    <t>2026-11</t>
  </si>
  <si>
    <t>2026-12</t>
  </si>
  <si>
    <t>2027-01</t>
  </si>
  <si>
    <t>2027-02</t>
  </si>
  <si>
    <t>2027-03</t>
  </si>
  <si>
    <t>2027-04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</si>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</sst>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3" fontId="0" fillId="0" borderId="0" xfId="0" applyNumberFormat="1"/>
    <xf numFmtId="164" fontId="1" fillId="0" borderId="1" xfId="0" quotePrefix="1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"/>
  <sheetViews>
    <sheetView tabSelected="1" workbookViewId="0">
      <selection activeCell="A11" sqref="A11"/>
    </sheetView>
  </sheetViews>
  <sheetFormatPr baseColWidth="10" defaultColWidth="8.7265625" defaultRowHeight="14.5" x14ac:dyDescent="0.35"/>
  <cols>
    <col min="1" max="1" width="32.26953125" bestFit="1" customWidth="1"/>
    <col min="2" max="2" width="23.54296875" customWidth="1"/>
    <col min="3" max="3" width="10.08984375" bestFit="1" customWidth="1"/>
  </cols>
  <sheetData>
    <row r="1" spans="1:25" ht="18.5" x14ac:dyDescent="0.45">
      <c r="A1" s="2" t="s">
        <v>31</v>
      </c>
      <c r="B1" s="2"/>
    </row>
    <row r="3" spans="1:25" x14ac:dyDescent="0.35">
      <c r="A3" s="1" t="s">
        <v>16</v>
      </c>
      <c r="B3" s="1" t="s">
        <v>0</v>
      </c>
      <c r="C3" s="4" t="s">
        <v>42</v>
      </c>
      <c r="D3" s="4" t="s">
        <v>43</v>
      </c>
      <c r="E3" s="4" t="s">
        <v>44</v>
      </c>
      <c r="F3" s="4" t="s">
        <v>45</v>
      </c>
      <c r="G3" s="4" t="s">
        <v>46</v>
      </c>
      <c r="H3" s="4" t="s">
        <v>47</v>
      </c>
      <c r="I3" s="4" t="s">
        <v>48</v>
      </c>
      <c r="J3" s="4" t="s">
        <v>49</v>
      </c>
      <c r="K3" s="4" t="s">
        <v>50</v>
      </c>
      <c r="L3" s="4" t="s">
        <v>51</v>
      </c>
      <c r="M3" s="4" t="s">
        <v>52</v>
      </c>
      <c r="N3" s="4" t="s">
        <v>53</v>
      </c>
      <c r="O3" s="4" t="s">
        <v>32</v>
      </c>
      <c r="P3" s="4" t="s">
        <v>33</v>
      </c>
      <c r="Q3" s="4" t="s">
        <v>34</v>
      </c>
      <c r="R3" s="4" t="s">
        <v>35</v>
      </c>
      <c r="S3" s="4" t="s">
        <v>36</v>
      </c>
      <c r="T3" s="4" t="s">
        <v>37</v>
      </c>
      <c r="U3" s="4" t="s">
        <v>38</v>
      </c>
      <c r="V3" s="4" t="s">
        <v>39</v>
      </c>
      <c r="W3" s="4" t="s">
        <v>40</v>
      </c>
      <c r="X3" s="4" t="s">
        <v>41</v>
      </c>
      <c r="Y3" s="1" t="s">
        <v>15</v>
      </c>
    </row>
    <row r="4" spans="1:25" x14ac:dyDescent="0.35">
      <c r="A4" t="s">
        <v>17</v>
      </c>
      <c r="B4" t="s">
        <v>1</v>
      </c>
      <c r="C4" s="3">
        <v>40000</v>
      </c>
      <c r="D4" s="3">
        <v>40000</v>
      </c>
      <c r="E4" s="3">
        <v>40000</v>
      </c>
      <c r="F4" s="3">
        <v>40000</v>
      </c>
      <c r="G4" s="3">
        <v>40000</v>
      </c>
      <c r="H4" s="3">
        <v>40000</v>
      </c>
      <c r="I4" s="3">
        <v>35000</v>
      </c>
      <c r="J4" s="3">
        <v>35000</v>
      </c>
      <c r="K4" s="3">
        <v>35000</v>
      </c>
      <c r="L4" s="3">
        <v>35000</v>
      </c>
      <c r="M4" s="3">
        <v>35000</v>
      </c>
      <c r="N4" s="3">
        <v>35000</v>
      </c>
      <c r="O4" s="3">
        <v>35000</v>
      </c>
      <c r="P4" s="3">
        <v>35000</v>
      </c>
      <c r="Q4" s="3">
        <v>35000</v>
      </c>
      <c r="R4" s="3">
        <v>35000</v>
      </c>
      <c r="S4" s="3">
        <v>35000</v>
      </c>
      <c r="T4" s="3">
        <v>35000</v>
      </c>
      <c r="U4" s="3">
        <v>35000</v>
      </c>
      <c r="V4" s="3">
        <v>35000</v>
      </c>
      <c r="W4" s="3">
        <v>20000</v>
      </c>
      <c r="X4" s="3">
        <v>10000</v>
      </c>
      <c r="Y4">
        <f t="shared" ref="Y4:Y17" si="0">SUM(C4:X4)</f>
        <v>760000</v>
      </c>
    </row>
    <row r="5" spans="1:25" x14ac:dyDescent="0.35">
      <c r="A5" t="s">
        <v>18</v>
      </c>
      <c r="B5" t="s">
        <v>2</v>
      </c>
      <c r="C5" s="3">
        <v>30000</v>
      </c>
      <c r="D5" s="3">
        <v>40000</v>
      </c>
      <c r="E5" s="3">
        <v>35000</v>
      </c>
      <c r="F5" s="3">
        <v>35000</v>
      </c>
      <c r="G5" s="3">
        <v>40000</v>
      </c>
      <c r="H5" s="3">
        <v>30000</v>
      </c>
      <c r="I5" s="3">
        <v>45000</v>
      </c>
      <c r="J5" s="3">
        <v>45000</v>
      </c>
      <c r="K5" s="3">
        <v>45000</v>
      </c>
      <c r="L5" s="3">
        <v>45000</v>
      </c>
      <c r="M5" s="3">
        <v>45000</v>
      </c>
      <c r="N5" s="3">
        <v>45000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35000</v>
      </c>
      <c r="U5" s="3">
        <v>0</v>
      </c>
      <c r="V5" s="3">
        <v>0</v>
      </c>
      <c r="W5" s="3">
        <v>0</v>
      </c>
      <c r="X5" s="3">
        <v>0</v>
      </c>
      <c r="Y5">
        <f t="shared" si="0"/>
        <v>515000</v>
      </c>
    </row>
    <row r="6" spans="1:25" x14ac:dyDescent="0.35">
      <c r="A6" t="s">
        <v>19</v>
      </c>
      <c r="B6" t="s">
        <v>3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30000</v>
      </c>
      <c r="J6" s="3">
        <v>35000</v>
      </c>
      <c r="K6" s="3">
        <v>40000</v>
      </c>
      <c r="L6" s="3">
        <v>45000</v>
      </c>
      <c r="M6" s="3">
        <v>50000</v>
      </c>
      <c r="N6" s="3">
        <v>50000</v>
      </c>
      <c r="O6" s="3">
        <v>55000</v>
      </c>
      <c r="P6" s="3">
        <v>55000</v>
      </c>
      <c r="Q6" s="3">
        <v>45000</v>
      </c>
      <c r="R6" s="3">
        <v>40000</v>
      </c>
      <c r="S6" s="3">
        <v>40000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>
        <f t="shared" si="0"/>
        <v>485000</v>
      </c>
    </row>
    <row r="7" spans="1:25" x14ac:dyDescent="0.35">
      <c r="A7" t="s">
        <v>20</v>
      </c>
      <c r="B7" t="s">
        <v>4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30000</v>
      </c>
      <c r="J7" s="3">
        <v>35000</v>
      </c>
      <c r="K7" s="3">
        <v>35000</v>
      </c>
      <c r="L7" s="3">
        <v>25000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>
        <f t="shared" si="0"/>
        <v>125000</v>
      </c>
    </row>
    <row r="8" spans="1:25" x14ac:dyDescent="0.35">
      <c r="A8" t="s">
        <v>21</v>
      </c>
      <c r="B8" t="s">
        <v>5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30000</v>
      </c>
      <c r="L8" s="3">
        <v>35000</v>
      </c>
      <c r="M8" s="3">
        <v>35000</v>
      </c>
      <c r="N8" s="3">
        <v>35000</v>
      </c>
      <c r="O8" s="3">
        <v>40000</v>
      </c>
      <c r="P8" s="3">
        <v>40000</v>
      </c>
      <c r="Q8" s="3">
        <v>40000</v>
      </c>
      <c r="R8" s="3">
        <v>35000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>
        <f t="shared" si="0"/>
        <v>290000</v>
      </c>
    </row>
    <row r="9" spans="1:25" x14ac:dyDescent="0.35">
      <c r="A9" t="s">
        <v>22</v>
      </c>
      <c r="B9" t="s">
        <v>6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20000</v>
      </c>
      <c r="P9" s="3">
        <v>25000</v>
      </c>
      <c r="Q9" s="3">
        <v>25000</v>
      </c>
      <c r="R9" s="3">
        <v>25000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>
        <f t="shared" si="0"/>
        <v>95000</v>
      </c>
    </row>
    <row r="10" spans="1:25" x14ac:dyDescent="0.35">
      <c r="A10" t="s">
        <v>23</v>
      </c>
      <c r="B10" t="s">
        <v>7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15000</v>
      </c>
      <c r="P10" s="3">
        <v>15000</v>
      </c>
      <c r="Q10" s="3">
        <v>15000</v>
      </c>
      <c r="R10" s="3">
        <v>15000</v>
      </c>
      <c r="S10" s="3">
        <v>20000</v>
      </c>
      <c r="T10" s="3">
        <v>20000</v>
      </c>
      <c r="U10" s="3">
        <v>10000</v>
      </c>
      <c r="V10" s="3">
        <v>0</v>
      </c>
      <c r="W10" s="3">
        <v>0</v>
      </c>
      <c r="X10" s="3">
        <v>0</v>
      </c>
      <c r="Y10">
        <f t="shared" si="0"/>
        <v>110000</v>
      </c>
    </row>
    <row r="11" spans="1:25" x14ac:dyDescent="0.35">
      <c r="A11" t="s">
        <v>24</v>
      </c>
      <c r="B11" t="s">
        <v>8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20000</v>
      </c>
      <c r="V11" s="3">
        <v>30000</v>
      </c>
      <c r="W11" s="3">
        <v>30000</v>
      </c>
      <c r="X11" s="3">
        <v>20000</v>
      </c>
      <c r="Y11">
        <f t="shared" si="0"/>
        <v>100000</v>
      </c>
    </row>
    <row r="12" spans="1:25" x14ac:dyDescent="0.35">
      <c r="A12" t="s">
        <v>25</v>
      </c>
      <c r="B12" t="s">
        <v>9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-20000</v>
      </c>
      <c r="O12" s="3">
        <v>15000</v>
      </c>
      <c r="P12" s="3">
        <v>20000</v>
      </c>
      <c r="Q12" s="3">
        <v>20000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>
        <f t="shared" si="0"/>
        <v>35000</v>
      </c>
    </row>
    <row r="13" spans="1:25" x14ac:dyDescent="0.35">
      <c r="A13" t="s">
        <v>26</v>
      </c>
      <c r="B13" t="s">
        <v>10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150000</v>
      </c>
      <c r="W13" s="3">
        <v>0</v>
      </c>
      <c r="X13" s="3">
        <v>0</v>
      </c>
      <c r="Y13">
        <f t="shared" si="0"/>
        <v>150000</v>
      </c>
    </row>
    <row r="14" spans="1:25" x14ac:dyDescent="0.35">
      <c r="A14" t="s">
        <v>27</v>
      </c>
      <c r="B14" t="s">
        <v>11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30000</v>
      </c>
      <c r="J14" s="3">
        <v>25000</v>
      </c>
      <c r="K14" s="3">
        <v>20000</v>
      </c>
      <c r="L14" s="3">
        <v>20000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>
        <f t="shared" si="0"/>
        <v>95000</v>
      </c>
    </row>
    <row r="15" spans="1:25" x14ac:dyDescent="0.35">
      <c r="A15" t="s">
        <v>28</v>
      </c>
      <c r="B15" t="s">
        <v>12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650000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>
        <f t="shared" si="0"/>
        <v>650000</v>
      </c>
    </row>
    <row r="16" spans="1:25" x14ac:dyDescent="0.35">
      <c r="A16" t="s">
        <v>29</v>
      </c>
      <c r="B16" t="s">
        <v>13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50000</v>
      </c>
      <c r="T16" s="3">
        <v>50000</v>
      </c>
      <c r="U16" s="3">
        <v>50000</v>
      </c>
      <c r="V16" s="3">
        <v>50000</v>
      </c>
      <c r="W16" s="3">
        <v>50000</v>
      </c>
      <c r="X16" s="3">
        <v>50000</v>
      </c>
      <c r="Y16">
        <f t="shared" si="0"/>
        <v>300000</v>
      </c>
    </row>
    <row r="17" spans="1:25" x14ac:dyDescent="0.35">
      <c r="A17" t="s">
        <v>30</v>
      </c>
      <c r="B17" t="s">
        <v>14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>
        <f t="shared" si="0"/>
        <v>0</v>
      </c>
    </row>
    <row r="19" spans="1:25" x14ac:dyDescent="0.35">
      <c r="A19" t="s">
        <v>15</v>
      </c>
      <c r="B19" t="s">
        <v>15</v>
      </c>
      <c r="C19">
        <f t="shared" ref="C19:X19" si="1">SUM(C4:C18)</f>
        <v>70000</v>
      </c>
      <c r="D19">
        <f t="shared" si="1"/>
        <v>80000</v>
      </c>
      <c r="E19">
        <f t="shared" si="1"/>
        <v>75000</v>
      </c>
      <c r="F19">
        <f t="shared" si="1"/>
        <v>75000</v>
      </c>
      <c r="G19">
        <f t="shared" si="1"/>
        <v>80000</v>
      </c>
      <c r="H19">
        <f t="shared" si="1"/>
        <v>70000</v>
      </c>
      <c r="I19">
        <f t="shared" si="1"/>
        <v>170000</v>
      </c>
      <c r="J19">
        <f t="shared" si="1"/>
        <v>175000</v>
      </c>
      <c r="K19">
        <f t="shared" si="1"/>
        <v>205000</v>
      </c>
      <c r="L19">
        <f t="shared" si="1"/>
        <v>205000</v>
      </c>
      <c r="M19">
        <f t="shared" si="1"/>
        <v>165000</v>
      </c>
      <c r="N19">
        <f t="shared" si="1"/>
        <v>145000</v>
      </c>
      <c r="O19">
        <f t="shared" si="1"/>
        <v>180000</v>
      </c>
      <c r="P19">
        <f t="shared" si="1"/>
        <v>190000</v>
      </c>
      <c r="Q19">
        <f t="shared" si="1"/>
        <v>830000</v>
      </c>
      <c r="R19">
        <f t="shared" si="1"/>
        <v>150000</v>
      </c>
      <c r="S19">
        <f t="shared" si="1"/>
        <v>145000</v>
      </c>
      <c r="T19">
        <f t="shared" si="1"/>
        <v>140000</v>
      </c>
      <c r="U19">
        <f t="shared" si="1"/>
        <v>115000</v>
      </c>
      <c r="V19">
        <f t="shared" si="1"/>
        <v>265000</v>
      </c>
      <c r="W19">
        <f t="shared" si="1"/>
        <v>100000</v>
      </c>
      <c r="X19">
        <f t="shared" si="1"/>
        <v>80000</v>
      </c>
      <c r="Y19">
        <f>SUM(C19:X19)</f>
        <v>3710000</v>
      </c>
    </row>
  </sheetData>
  <phoneticPr fontId="3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Budget by 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Jean-François Bilodeau</cp:lastModifiedBy>
  <dcterms:created xsi:type="dcterms:W3CDTF">2026-04-29T13:53:57Z</dcterms:created>
  <dcterms:modified xsi:type="dcterms:W3CDTF">2026-05-20T13:42:57Z</dcterms:modified>
</cp:coreProperties>
</file>